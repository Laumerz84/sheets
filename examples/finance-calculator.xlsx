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dddd, mmmm d, yyyy"/>
    <numFmt numFmtId="165" formatCode="&quot;$&quot;#,##0"/>
    <numFmt numFmtId="166" formatCode="&quot;$&quot;#,##0.00"/>
    <numFmt numFmtId="167" formatCode="0.0%"/>
    <numFmt numFmtId="168" formatCode="mmmm yyyy"/>
    <numFmt numFmtId="169" formatCode="&quot;Paid off &quot;0.0%"/>
    <numFmt numFmtId="170" formatCode="0.0&quot; yrs&quot;"/>
    <numFmt numFmtId="171" formatCode="&quot;$&quot;#,##0;[Red]-&quot;$&quot;#,##0"/>
    <numFmt numFmtId="172" formatCode="0.000000"/>
    <numFmt numFmtId="173" formatCode="0&quot; days&quot;"/>
    <numFmt numFmtId="174" formatCode="0.0&quot; F&quot;"/>
    <numFmt numFmtId="175" formatCode="0.00&quot; km&quot;"/>
    <numFmt numFmtId="176" formatCode="&quot;$&quot;0.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1"/>
    </font>
    <font>
      <name val="Calibri"/>
      <i val="1"/>
      <color rgb="007F7F7F"/>
      <sz val="11"/>
    </font>
    <font>
      <name val="Calibri"/>
      <b val="1"/>
      <color rgb="000000FF"/>
      <sz val="11"/>
    </font>
    <font>
      <name val="Calibri"/>
      <b val="1"/>
      <sz val="11"/>
    </font>
    <font>
      <name val="Calibri"/>
      <b val="1"/>
      <color rgb="00FFFFFF"/>
      <sz val="12"/>
    </font>
    <font>
      <name val="Calibri"/>
      <sz val="11"/>
    </font>
    <font>
      <name val="Calibri"/>
      <i val="1"/>
      <sz val="11"/>
    </font>
    <font>
      <name val="Calibri"/>
      <i val="1"/>
      <color rgb="00595959"/>
      <sz val="11"/>
    </font>
  </fonts>
  <fills count="1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548235"/>
      </patternFill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7030A0"/>
      </patternFill>
    </fill>
    <fill>
      <patternFill patternType="solid">
        <fgColor rgb="00EDE2F6"/>
      </patternFill>
    </fill>
    <fill>
      <patternFill patternType="solid">
        <fgColor rgb="00404040"/>
      </patternFill>
    </fill>
    <fill>
      <patternFill patternType="solid">
        <fgColor rgb="00EDEDED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 style="thin">
        <color rgb="00BFBFBF"/>
      </right>
      <top style="medium">
        <color rgb="007F7F7F"/>
      </top>
      <bottom style="medium">
        <color rgb="007F7F7F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164" fontId="2" fillId="2" borderId="0" applyAlignment="1" pivotButton="0" quotePrefix="0" xfId="0">
      <alignment horizontal="right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 indent="1"/>
    </xf>
    <xf numFmtId="0" fontId="6" fillId="11" borderId="0" applyAlignment="1" pivotButton="0" quotePrefix="0" xfId="0">
      <alignment horizontal="left" vertical="center" indent="1"/>
    </xf>
    <xf numFmtId="0" fontId="7" fillId="6" borderId="0" applyAlignment="1" pivotButton="0" quotePrefix="0" xfId="0">
      <alignment vertical="center" indent="1"/>
    </xf>
    <xf numFmtId="165" fontId="4" fillId="3" borderId="1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  <xf numFmtId="0" fontId="7" fillId="12" borderId="0" applyAlignment="1" pivotButton="0" quotePrefix="0" xfId="0">
      <alignment vertical="center" indent="1"/>
    </xf>
    <xf numFmtId="3" fontId="4" fillId="3" borderId="1" applyAlignment="1" pivotButton="0" quotePrefix="0" xfId="0">
      <alignment horizontal="right" vertical="center"/>
    </xf>
    <xf numFmtId="9" fontId="4" fillId="3" borderId="1" applyAlignment="1" pivotButton="0" quotePrefix="0" xfId="0">
      <alignment horizontal="right" vertical="center"/>
    </xf>
    <xf numFmtId="1" fontId="7" fillId="6" borderId="1" applyAlignment="1" pivotButton="0" quotePrefix="0" xfId="0">
      <alignment horizontal="center" vertical="center"/>
    </xf>
    <xf numFmtId="166" fontId="7" fillId="6" borderId="1" pivotButton="0" quotePrefix="0" xfId="0"/>
    <xf numFmtId="165" fontId="7" fillId="6" borderId="1" pivotButton="0" quotePrefix="0" xfId="0"/>
    <xf numFmtId="0" fontId="7" fillId="0" borderId="1" applyAlignment="1" pivotButton="0" quotePrefix="0" xfId="0">
      <alignment horizontal="right" vertical="center"/>
    </xf>
    <xf numFmtId="10" fontId="4" fillId="3" borderId="1" applyAlignment="1" pivotButton="0" quotePrefix="0" xfId="0">
      <alignment horizontal="right" vertical="center"/>
    </xf>
    <xf numFmtId="1" fontId="7" fillId="0" borderId="1" applyAlignment="1" pivotButton="0" quotePrefix="0" xfId="0">
      <alignment horizontal="center" vertical="center"/>
    </xf>
    <xf numFmtId="166" fontId="7" fillId="0" borderId="1" pivotButton="0" quotePrefix="0" xfId="0"/>
    <xf numFmtId="165" fontId="7" fillId="0" borderId="1" pivotButton="0" quotePrefix="0" xfId="0"/>
    <xf numFmtId="3" fontId="7" fillId="0" borderId="1" applyAlignment="1" pivotButton="0" quotePrefix="0" xfId="0">
      <alignment horizontal="right" vertical="center"/>
    </xf>
    <xf numFmtId="1" fontId="4" fillId="3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72" fontId="7" fillId="0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1" fontId="7" fillId="0" borderId="1" applyAlignment="1" pivotButton="0" quotePrefix="0" xfId="0">
      <alignment horizontal="right" vertical="center"/>
    </xf>
    <xf numFmtId="173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168" fontId="7" fillId="0" borderId="1" applyAlignment="1" pivotButton="0" quotePrefix="0" xfId="0">
      <alignment horizontal="right" vertical="center"/>
    </xf>
    <xf numFmtId="174" fontId="7" fillId="0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165" fontId="5" fillId="7" borderId="1" pivotButton="0" quotePrefix="0" xfId="0"/>
    <xf numFmtId="169" fontId="5" fillId="7" borderId="1" applyAlignment="1" pivotButton="0" quotePrefix="0" xfId="0">
      <alignment horizontal="right" vertical="center"/>
    </xf>
    <xf numFmtId="175" fontId="7" fillId="0" borderId="1" applyAlignment="1" pivotButton="0" quotePrefix="0" xfId="0">
      <alignment horizontal="right" vertical="center"/>
    </xf>
    <xf numFmtId="0" fontId="6" fillId="8" borderId="0" applyAlignment="1" pivotButton="0" quotePrefix="0" xfId="0">
      <alignment horizontal="left" vertical="center" indent="1"/>
    </xf>
    <xf numFmtId="0" fontId="6" fillId="13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vertical="center" indent="1"/>
    </xf>
    <xf numFmtId="0" fontId="7" fillId="14" borderId="0" applyAlignment="1" pivotButton="0" quotePrefix="0" xfId="0">
      <alignment vertical="center" indent="1"/>
    </xf>
    <xf numFmtId="167" fontId="5" fillId="4" borderId="1" applyAlignment="1" pivotButton="0" quotePrefix="0" xfId="0">
      <alignment horizontal="right" vertical="center"/>
    </xf>
    <xf numFmtId="165" fontId="5" fillId="0" borderId="1" pivotButton="0" quotePrefix="0" xfId="0"/>
    <xf numFmtId="167" fontId="4" fillId="3" borderId="1" applyAlignment="1" pivotButton="0" quotePrefix="0" xfId="0">
      <alignment horizontal="right" vertical="center"/>
    </xf>
    <xf numFmtId="1" fontId="7" fillId="4" borderId="1" applyAlignment="1" pivotButton="0" quotePrefix="0" xfId="0">
      <alignment horizontal="center" vertical="center"/>
    </xf>
    <xf numFmtId="165" fontId="7" fillId="4" borderId="1" pivotButton="0" quotePrefix="0" xfId="0"/>
    <xf numFmtId="165" fontId="5" fillId="4" borderId="1" pivotButton="0" quotePrefix="0" xfId="0"/>
    <xf numFmtId="165" fontId="5" fillId="4" borderId="1" applyAlignment="1" pivotButton="0" quotePrefix="0" xfId="0">
      <alignment horizontal="right" vertical="center"/>
    </xf>
    <xf numFmtId="170" fontId="7" fillId="0" borderId="1" applyAlignment="1" pivotButton="0" quotePrefix="0" xfId="0">
      <alignment horizontal="right" vertical="center"/>
    </xf>
    <xf numFmtId="176" fontId="7" fillId="0" borderId="1" applyAlignment="1" pivotButton="0" quotePrefix="0" xfId="0">
      <alignment horizontal="right" vertical="center"/>
    </xf>
    <xf numFmtId="171" fontId="5" fillId="4" borderId="1" applyAlignment="1" pivotButton="0" quotePrefix="0" xfId="0">
      <alignment horizontal="right" vertical="center"/>
    </xf>
    <xf numFmtId="0" fontId="6" fillId="9" borderId="0" applyAlignment="1" pivotButton="0" quotePrefix="0" xfId="0">
      <alignment horizontal="left" vertical="center" indent="1"/>
    </xf>
    <xf numFmtId="0" fontId="7" fillId="10" borderId="0" applyAlignment="1" pivotButton="0" quotePrefix="0" xfId="0">
      <alignment vertical="center" indent="1"/>
    </xf>
    <xf numFmtId="0" fontId="8" fillId="0" borderId="1" applyAlignment="1" pivotButton="0" quotePrefix="0" xfId="0">
      <alignment indent="1"/>
    </xf>
    <xf numFmtId="165" fontId="9" fillId="0" borderId="1" pivotButton="0" quotePrefix="0" xfId="0"/>
    <xf numFmtId="171" fontId="7" fillId="0" borderId="1" pivotButton="0" quotePrefix="0" xfId="0"/>
    <xf numFmtId="167" fontId="7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indent="1"/>
    </xf>
    <xf numFmtId="0" fontId="5" fillId="10" borderId="3" pivotButton="0" quotePrefix="0" xfId="0"/>
    <xf numFmtId="165" fontId="5" fillId="10" borderId="3" pivotButton="0" quotePrefix="0" xfId="0"/>
    <xf numFmtId="171" fontId="5" fillId="10" borderId="3" pivotButton="0" quotePrefix="0" xfId="0"/>
    <xf numFmtId="167" fontId="5" fillId="10" borderId="3" pivotButton="0" quotePrefix="0" xfId="0"/>
    <xf numFmtId="0" fontId="5" fillId="10" borderId="3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b val="1"/>
        <color rgb="009C0006"/>
      </font>
      <fill>
        <patternFill>
          <bgColor rgb="00FFC7CE"/>
        </patternFill>
      </fill>
    </dxf>
    <dxf>
      <font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ill>
        <patternFill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showGridLines="0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13" customWidth="1" min="3" max="3"/>
    <col width="12" customWidth="1" min="4" max="4"/>
    <col width="13" customWidth="1" min="5" max="5"/>
    <col width="15" customWidth="1" min="6" max="6"/>
    <col width="13" customWidth="1" min="7" max="7"/>
    <col width="15" customWidth="1" min="8" max="8"/>
    <col width="3" customWidth="1" min="9" max="9"/>
    <col width="32" customWidth="1" min="10" max="10"/>
    <col width="17" customWidth="1" min="11" max="11"/>
  </cols>
  <sheetData>
    <row r="1" ht="34" customHeight="1">
      <c r="A1" s="1" t="inlineStr">
        <is>
          <t>PERSONAL FINANCE CALCULATOR</t>
        </is>
      </c>
      <c r="J1" s="2">
        <f>TODAY()</f>
        <v/>
      </c>
    </row>
    <row r="2">
      <c r="A2" s="3" t="inlineStr">
        <is>
          <t>Yellow cells are inputs - change them and everything recalculates.</t>
        </is>
      </c>
      <c r="J2" s="4" t="inlineStr">
        <is>
          <t>Input</t>
        </is>
      </c>
      <c r="K2" s="5" t="inlineStr">
        <is>
          <t>Result</t>
        </is>
      </c>
    </row>
    <row r="4" ht="22" customHeight="1">
      <c r="A4" s="6" t="inlineStr">
        <is>
          <t>MORTGAGE</t>
        </is>
      </c>
      <c r="D4" s="6" t="inlineStr">
        <is>
          <t>FIRST YEAR OF PAYMENTS</t>
        </is>
      </c>
      <c r="J4" s="7" t="inlineStr">
        <is>
          <t>QUICK MATH</t>
        </is>
      </c>
    </row>
    <row r="5">
      <c r="A5" s="8" t="inlineStr">
        <is>
          <t>Home price</t>
        </is>
      </c>
      <c r="B5" s="9" t="n">
        <v>450000</v>
      </c>
      <c r="D5" s="10" t="inlineStr">
        <is>
          <t>Month</t>
        </is>
      </c>
      <c r="E5" s="10" t="inlineStr">
        <is>
          <t>Payment</t>
        </is>
      </c>
      <c r="F5" s="10" t="inlineStr">
        <is>
          <t>Interest</t>
        </is>
      </c>
      <c r="G5" s="10" t="inlineStr">
        <is>
          <t>Principal</t>
        </is>
      </c>
      <c r="H5" s="10" t="inlineStr">
        <is>
          <t>Balance</t>
        </is>
      </c>
      <c r="J5" s="11" t="inlineStr">
        <is>
          <t>Any number</t>
        </is>
      </c>
      <c r="K5" s="12" t="n">
        <v>144</v>
      </c>
    </row>
    <row r="6">
      <c r="A6" s="8" t="inlineStr">
        <is>
          <t>Down payment</t>
        </is>
      </c>
      <c r="B6" s="13" t="n">
        <v>0.2</v>
      </c>
      <c r="D6" s="14" t="n">
        <v>1</v>
      </c>
      <c r="E6" s="15">
        <f>$B$12</f>
        <v/>
      </c>
      <c r="F6" s="15">
        <f>$B$11*$B$7/12</f>
        <v/>
      </c>
      <c r="G6" s="15">
        <f>E6-F6</f>
        <v/>
      </c>
      <c r="H6" s="16">
        <f>$B$11-G6</f>
        <v/>
      </c>
      <c r="J6" s="11" t="inlineStr">
        <is>
          <t>Square root</t>
        </is>
      </c>
      <c r="K6" s="17">
        <f>SQRT(K5)</f>
        <v/>
      </c>
    </row>
    <row r="7">
      <c r="A7" s="8" t="inlineStr">
        <is>
          <t>Interest rate (APR)</t>
        </is>
      </c>
      <c r="B7" s="18" t="n">
        <v>0.065</v>
      </c>
      <c r="D7" s="19">
        <f>D6+1</f>
        <v/>
      </c>
      <c r="E7" s="20">
        <f>$B$12</f>
        <v/>
      </c>
      <c r="F7" s="20">
        <f>H6*$B$7/12</f>
        <v/>
      </c>
      <c r="G7" s="20">
        <f>E7-F7</f>
        <v/>
      </c>
      <c r="H7" s="21">
        <f>H6-G7</f>
        <v/>
      </c>
      <c r="J7" s="11" t="inlineStr">
        <is>
          <t>Squared</t>
        </is>
      </c>
      <c r="K7" s="22">
        <f>K5^2</f>
        <v/>
      </c>
    </row>
    <row r="8">
      <c r="A8" s="8" t="inlineStr">
        <is>
          <t>Loan term (years)</t>
        </is>
      </c>
      <c r="B8" s="23" t="n">
        <v>30</v>
      </c>
      <c r="D8" s="14">
        <f>D7+1</f>
        <v/>
      </c>
      <c r="E8" s="15">
        <f>$B$12</f>
        <v/>
      </c>
      <c r="F8" s="15">
        <f>H7*$B$7/12</f>
        <v/>
      </c>
      <c r="G8" s="15">
        <f>E8-F8</f>
        <v/>
      </c>
      <c r="H8" s="16">
        <f>H7-G8</f>
        <v/>
      </c>
      <c r="J8" s="11" t="inlineStr">
        <is>
          <t>Even?</t>
        </is>
      </c>
      <c r="K8" s="17">
        <f>IF(ISEVEN(K5),"yes","no")</f>
        <v/>
      </c>
    </row>
    <row r="9">
      <c r="A9" s="8" t="inlineStr">
        <is>
          <t>Property tax / year</t>
        </is>
      </c>
      <c r="B9" s="9" t="n">
        <v>5400</v>
      </c>
      <c r="D9" s="19">
        <f>D8+1</f>
        <v/>
      </c>
      <c r="E9" s="20">
        <f>$B$12</f>
        <v/>
      </c>
      <c r="F9" s="20">
        <f>H8*$B$7/12</f>
        <v/>
      </c>
      <c r="G9" s="20">
        <f>E9-F9</f>
        <v/>
      </c>
      <c r="H9" s="21">
        <f>H8-G9</f>
        <v/>
      </c>
      <c r="J9" s="11" t="inlineStr">
        <is>
          <t>As % of 1,000</t>
        </is>
      </c>
      <c r="K9" s="24">
        <f>K5/1000</f>
        <v/>
      </c>
    </row>
    <row r="10">
      <c r="A10" s="8" t="inlineStr">
        <is>
          <t>Insurance / year</t>
        </is>
      </c>
      <c r="B10" s="9" t="n">
        <v>1800</v>
      </c>
      <c r="D10" s="14">
        <f>D9+1</f>
        <v/>
      </c>
      <c r="E10" s="15">
        <f>$B$12</f>
        <v/>
      </c>
      <c r="F10" s="15">
        <f>H9*$B$7/12</f>
        <v/>
      </c>
      <c r="G10" s="15">
        <f>E10-F10</f>
        <v/>
      </c>
      <c r="H10" s="16">
        <f>H9-G10</f>
        <v/>
      </c>
      <c r="J10" s="11" t="inlineStr">
        <is>
          <t>Factorial of 10</t>
        </is>
      </c>
      <c r="K10" s="22">
        <f>FACT(10)</f>
        <v/>
      </c>
    </row>
    <row r="11">
      <c r="A11" s="8" t="inlineStr">
        <is>
          <t>Loan amount</t>
        </is>
      </c>
      <c r="B11" s="25">
        <f>B5*(1-B6)</f>
        <v/>
      </c>
      <c r="D11" s="19">
        <f>D10+1</f>
        <v/>
      </c>
      <c r="E11" s="20">
        <f>$B$12</f>
        <v/>
      </c>
      <c r="F11" s="20">
        <f>H10*$B$7/12</f>
        <v/>
      </c>
      <c r="G11" s="20">
        <f>E11-F11</f>
        <v/>
      </c>
      <c r="H11" s="21">
        <f>H10-G11</f>
        <v/>
      </c>
      <c r="J11" s="11" t="inlineStr">
        <is>
          <t>Pi</t>
        </is>
      </c>
      <c r="K11" s="26">
        <f>PI()</f>
        <v/>
      </c>
    </row>
    <row r="12">
      <c r="A12" s="8" t="inlineStr">
        <is>
          <t>Monthly principal + interest</t>
        </is>
      </c>
      <c r="B12" s="27">
        <f>-PMT(B7/12,B8*12,B11)</f>
        <v/>
      </c>
      <c r="D12" s="14">
        <f>D11+1</f>
        <v/>
      </c>
      <c r="E12" s="15">
        <f>$B$12</f>
        <v/>
      </c>
      <c r="F12" s="15">
        <f>H11*$B$7/12</f>
        <v/>
      </c>
      <c r="G12" s="15">
        <f>E12-F12</f>
        <v/>
      </c>
      <c r="H12" s="16">
        <f>H11-G12</f>
        <v/>
      </c>
      <c r="J12" s="11" t="inlineStr">
        <is>
          <t>Random 1-100 (F9 rerolls)</t>
        </is>
      </c>
      <c r="K12" s="28">
        <f>RANDBETWEEN(1,100)</f>
        <v/>
      </c>
    </row>
    <row r="13">
      <c r="A13" s="8" t="inlineStr">
        <is>
          <t>Monthly total incl. tax + ins.</t>
        </is>
      </c>
      <c r="B13" s="27">
        <f>B12+(B9+B10)/12</f>
        <v/>
      </c>
      <c r="D13" s="19">
        <f>D12+1</f>
        <v/>
      </c>
      <c r="E13" s="20">
        <f>$B$12</f>
        <v/>
      </c>
      <c r="F13" s="20">
        <f>H12*$B$7/12</f>
        <v/>
      </c>
      <c r="G13" s="20">
        <f>E13-F13</f>
        <v/>
      </c>
      <c r="H13" s="21">
        <f>H12-G13</f>
        <v/>
      </c>
      <c r="J13" s="11" t="inlineStr">
        <is>
          <t>Days until New Year</t>
        </is>
      </c>
      <c r="K13" s="29">
        <f>DATE(YEAR(TODAY())+1,1,1)-TODAY()</f>
        <v/>
      </c>
    </row>
    <row r="14">
      <c r="A14" s="8" t="inlineStr">
        <is>
          <t>Total paid over the loan</t>
        </is>
      </c>
      <c r="B14" s="25">
        <f>B12*B8*12</f>
        <v/>
      </c>
      <c r="D14" s="14">
        <f>D13+1</f>
        <v/>
      </c>
      <c r="E14" s="15">
        <f>$B$12</f>
        <v/>
      </c>
      <c r="F14" s="15">
        <f>H13*$B$7/12</f>
        <v/>
      </c>
      <c r="G14" s="15">
        <f>E14-F14</f>
        <v/>
      </c>
      <c r="H14" s="16">
        <f>H13-G14</f>
        <v/>
      </c>
      <c r="J14" s="11" t="inlineStr">
        <is>
          <t>Week of the year</t>
        </is>
      </c>
      <c r="K14" s="28">
        <f>WEEKNUM(TODAY())</f>
        <v/>
      </c>
    </row>
    <row r="15">
      <c r="A15" s="8" t="inlineStr">
        <is>
          <t>Total interest</t>
        </is>
      </c>
      <c r="B15" s="25">
        <f>B14-B11</f>
        <v/>
      </c>
      <c r="D15" s="19">
        <f>D14+1</f>
        <v/>
      </c>
      <c r="E15" s="20">
        <f>$B$12</f>
        <v/>
      </c>
      <c r="F15" s="20">
        <f>H14*$B$7/12</f>
        <v/>
      </c>
      <c r="G15" s="20">
        <f>E15-F15</f>
        <v/>
      </c>
      <c r="H15" s="21">
        <f>H14-G15</f>
        <v/>
      </c>
      <c r="J15" s="11" t="inlineStr">
        <is>
          <t>18% tip on $86.40</t>
        </is>
      </c>
      <c r="K15" s="30">
        <f>86.4*0.18</f>
        <v/>
      </c>
    </row>
    <row r="16">
      <c r="A16" s="8" t="inlineStr">
        <is>
          <t>Interest as % of loan</t>
        </is>
      </c>
      <c r="B16" s="24">
        <f>B15/B11</f>
        <v/>
      </c>
      <c r="D16" s="14">
        <f>D15+1</f>
        <v/>
      </c>
      <c r="E16" s="15">
        <f>$B$12</f>
        <v/>
      </c>
      <c r="F16" s="15">
        <f>H15*$B$7/12</f>
        <v/>
      </c>
      <c r="G16" s="15">
        <f>E16-F16</f>
        <v/>
      </c>
      <c r="H16" s="16">
        <f>H15-G16</f>
        <v/>
      </c>
      <c r="J16" s="11" t="inlineStr">
        <is>
          <t>...total split 4 ways</t>
        </is>
      </c>
      <c r="K16" s="30">
        <f>86.4*1.18/4</f>
        <v/>
      </c>
    </row>
    <row r="17">
      <c r="A17" s="8" t="inlineStr">
        <is>
          <t>Paid off in</t>
        </is>
      </c>
      <c r="B17" s="31">
        <f>EDATE(TODAY(),B8*12)</f>
        <v/>
      </c>
      <c r="D17" s="19">
        <f>D16+1</f>
        <v/>
      </c>
      <c r="E17" s="20">
        <f>$B$12</f>
        <v/>
      </c>
      <c r="F17" s="20">
        <f>H16*$B$7/12</f>
        <v/>
      </c>
      <c r="G17" s="20">
        <f>E17-F17</f>
        <v/>
      </c>
      <c r="H17" s="21">
        <f>H16-G17</f>
        <v/>
      </c>
      <c r="J17" s="11" t="inlineStr">
        <is>
          <t>22 C in Fahrenheit</t>
        </is>
      </c>
      <c r="K17" s="32">
        <f>22*9/5+32</f>
        <v/>
      </c>
    </row>
    <row r="18">
      <c r="D18" s="33" t="inlineStr">
        <is>
          <t>Year 1</t>
        </is>
      </c>
      <c r="E18" s="34">
        <f>SUM(E6:E17)</f>
        <v/>
      </c>
      <c r="F18" s="34">
        <f>SUM(F6:F17)</f>
        <v/>
      </c>
      <c r="G18" s="34">
        <f>SUM(G6:G17)</f>
        <v/>
      </c>
      <c r="H18" s="35">
        <f>1-H17/B11</f>
        <v/>
      </c>
      <c r="J18" s="11" t="inlineStr">
        <is>
          <t>Marathon in km</t>
        </is>
      </c>
      <c r="K18" s="36">
        <f>26.2*1.609344</f>
        <v/>
      </c>
    </row>
    <row r="20" ht="22" customHeight="1">
      <c r="A20" s="37" t="inlineStr">
        <is>
          <t>SAVINGS &amp; INVESTING</t>
        </is>
      </c>
      <c r="D20" s="37" t="inlineStr">
        <is>
          <t>GROWTH BY YEAR</t>
        </is>
      </c>
      <c r="J20" s="38" t="inlineStr">
        <is>
          <t>THE BIG PICTURE</t>
        </is>
      </c>
    </row>
    <row r="21">
      <c r="A21" s="39" t="inlineStr">
        <is>
          <t>Starting balance</t>
        </is>
      </c>
      <c r="B21" s="9" t="n">
        <v>10000</v>
      </c>
      <c r="D21" s="10" t="inlineStr">
        <is>
          <t>Year</t>
        </is>
      </c>
      <c r="E21" s="10" t="inlineStr">
        <is>
          <t>Start</t>
        </is>
      </c>
      <c r="F21" s="10" t="inlineStr">
        <is>
          <t>Added</t>
        </is>
      </c>
      <c r="G21" s="10" t="inlineStr">
        <is>
          <t>Growth</t>
        </is>
      </c>
      <c r="H21" s="10" t="inlineStr">
        <is>
          <t>End</t>
        </is>
      </c>
      <c r="J21" s="40" t="inlineStr">
        <is>
          <t>Housing cost as % of pay</t>
        </is>
      </c>
      <c r="K21" s="41">
        <f>B13/B35</f>
        <v/>
      </c>
    </row>
    <row r="22">
      <c r="A22" s="39" t="inlineStr">
        <is>
          <t>Monthly contribution</t>
        </is>
      </c>
      <c r="B22" s="9" t="n">
        <v>750</v>
      </c>
      <c r="D22" s="19" t="n">
        <v>1</v>
      </c>
      <c r="E22" s="21">
        <f>$B$21</f>
        <v/>
      </c>
      <c r="F22" s="21">
        <f>$B$22*12</f>
        <v/>
      </c>
      <c r="G22" s="21">
        <f>H22-E22-F22</f>
        <v/>
      </c>
      <c r="H22" s="42">
        <f>FV($B$23/12,12,-$B$22,-E22)</f>
        <v/>
      </c>
      <c r="J22" s="40" t="inlineStr">
        <is>
          <t>vs. the 28% guideline</t>
        </is>
      </c>
      <c r="K22" s="17">
        <f>IF(B13/B35&gt;0.28,"Above","Within")</f>
        <v/>
      </c>
    </row>
    <row r="23">
      <c r="A23" s="39" t="inlineStr">
        <is>
          <t>Expected annual return</t>
        </is>
      </c>
      <c r="B23" s="43" t="n">
        <v>0.07000000000000001</v>
      </c>
      <c r="D23" s="44">
        <f>D22+1</f>
        <v/>
      </c>
      <c r="E23" s="45">
        <f>H22</f>
        <v/>
      </c>
      <c r="F23" s="45">
        <f>$B$22*12</f>
        <v/>
      </c>
      <c r="G23" s="45">
        <f>H23-E23-F23</f>
        <v/>
      </c>
      <c r="H23" s="46">
        <f>FV($B$23/12,12,-$B$22,-E23)</f>
        <v/>
      </c>
      <c r="J23" s="40" t="inlineStr">
        <is>
          <t>Savings in 25 yrs (today's $)</t>
        </is>
      </c>
      <c r="K23" s="47">
        <f>B29</f>
        <v/>
      </c>
    </row>
    <row r="24">
      <c r="A24" s="39" t="inlineStr">
        <is>
          <t>Years</t>
        </is>
      </c>
      <c r="B24" s="23" t="n">
        <v>25</v>
      </c>
      <c r="D24" s="19">
        <f>D23+1</f>
        <v/>
      </c>
      <c r="E24" s="21">
        <f>H23</f>
        <v/>
      </c>
      <c r="F24" s="21">
        <f>$B$22*12</f>
        <v/>
      </c>
      <c r="G24" s="21">
        <f>H24-E24-F24</f>
        <v/>
      </c>
      <c r="H24" s="42">
        <f>FV($B$23/12,12,-$B$22,-E24)</f>
        <v/>
      </c>
      <c r="J24" s="40" t="inlineStr">
        <is>
          <t>Years of spending it covers</t>
        </is>
      </c>
      <c r="K24" s="48">
        <f>B29/(C45*12)</f>
        <v/>
      </c>
    </row>
    <row r="25">
      <c r="A25" s="39" t="inlineStr">
        <is>
          <t>Inflation</t>
        </is>
      </c>
      <c r="B25" s="43" t="n">
        <v>0.03</v>
      </c>
      <c r="D25" s="44">
        <f>D24+1</f>
        <v/>
      </c>
      <c r="E25" s="45">
        <f>H24</f>
        <v/>
      </c>
      <c r="F25" s="45">
        <f>$B$22*12</f>
        <v/>
      </c>
      <c r="G25" s="45">
        <f>H25-E25-F25</f>
        <v/>
      </c>
      <c r="H25" s="46">
        <f>FV($B$23/12,12,-$B$22,-E25)</f>
        <v/>
      </c>
      <c r="J25" s="40" t="inlineStr">
        <is>
          <t>Mortgage interest per $1 borrowed</t>
        </is>
      </c>
      <c r="K25" s="49">
        <f>B15/B11</f>
        <v/>
      </c>
    </row>
    <row r="26">
      <c r="A26" s="39" t="inlineStr">
        <is>
          <t>Future value</t>
        </is>
      </c>
      <c r="B26" s="47">
        <f>FV(B23/12,B24*12,-B22,-B21)</f>
        <v/>
      </c>
      <c r="D26" s="19">
        <f>D25+1</f>
        <v/>
      </c>
      <c r="E26" s="21">
        <f>H25</f>
        <v/>
      </c>
      <c r="F26" s="21">
        <f>$B$22*12</f>
        <v/>
      </c>
      <c r="G26" s="21">
        <f>H26-E26-F26</f>
        <v/>
      </c>
      <c r="H26" s="42">
        <f>FV($B$23/12,12,-$B$22,-E26)</f>
        <v/>
      </c>
      <c r="J26" s="40" t="inlineStr">
        <is>
          <t>Net cash flow / year</t>
        </is>
      </c>
      <c r="K26" s="50">
        <f>(B35-C45)*12</f>
        <v/>
      </c>
    </row>
    <row r="27">
      <c r="A27" s="39" t="inlineStr">
        <is>
          <t>Total you put in</t>
        </is>
      </c>
      <c r="B27" s="25">
        <f>B21+B22*12*B24</f>
        <v/>
      </c>
      <c r="D27" s="44">
        <f>D26+1</f>
        <v/>
      </c>
      <c r="E27" s="45">
        <f>H26</f>
        <v/>
      </c>
      <c r="F27" s="45">
        <f>$B$22*12</f>
        <v/>
      </c>
      <c r="G27" s="45">
        <f>H27-E27-F27</f>
        <v/>
      </c>
      <c r="H27" s="46">
        <f>FV($B$23/12,12,-$B$22,-E27)</f>
        <v/>
      </c>
    </row>
    <row r="28">
      <c r="A28" s="39" t="inlineStr">
        <is>
          <t>Growth from returns</t>
        </is>
      </c>
      <c r="B28" s="25">
        <f>B26-B27</f>
        <v/>
      </c>
      <c r="D28" s="19">
        <f>D27+1</f>
        <v/>
      </c>
      <c r="E28" s="21">
        <f>H27</f>
        <v/>
      </c>
      <c r="F28" s="21">
        <f>$B$22*12</f>
        <v/>
      </c>
      <c r="G28" s="21">
        <f>H28-E28-F28</f>
        <v/>
      </c>
      <c r="H28" s="42">
        <f>FV($B$23/12,12,-$B$22,-E28)</f>
        <v/>
      </c>
    </row>
    <row r="29">
      <c r="A29" s="39" t="inlineStr">
        <is>
          <t>Future value in today's money</t>
        </is>
      </c>
      <c r="B29" s="47">
        <f>B26/(1+B25)^B24</f>
        <v/>
      </c>
      <c r="D29" s="44">
        <f>D28+1</f>
        <v/>
      </c>
      <c r="E29" s="45">
        <f>H28</f>
        <v/>
      </c>
      <c r="F29" s="45">
        <f>$B$22*12</f>
        <v/>
      </c>
      <c r="G29" s="45">
        <f>H29-E29-F29</f>
        <v/>
      </c>
      <c r="H29" s="46">
        <f>FV($B$23/12,12,-$B$22,-E29)</f>
        <v/>
      </c>
    </row>
    <row r="30">
      <c r="A30" s="39" t="inlineStr">
        <is>
          <t>Monthly income (4% rule)</t>
        </is>
      </c>
      <c r="B30" s="25">
        <f>B26*0.04/12</f>
        <v/>
      </c>
      <c r="D30" s="19">
        <f>D29+1</f>
        <v/>
      </c>
      <c r="E30" s="21">
        <f>H29</f>
        <v/>
      </c>
      <c r="F30" s="21">
        <f>$B$22*12</f>
        <v/>
      </c>
      <c r="G30" s="21">
        <f>H30-E30-F30</f>
        <v/>
      </c>
      <c r="H30" s="42">
        <f>FV($B$23/12,12,-$B$22,-E30)</f>
        <v/>
      </c>
    </row>
    <row r="31">
      <c r="A31" s="39" t="inlineStr">
        <is>
          <t>Years to double (rule of 72)</t>
        </is>
      </c>
      <c r="B31" s="48">
        <f>72/(B23*100)</f>
        <v/>
      </c>
      <c r="D31" s="44">
        <f>D30+1</f>
        <v/>
      </c>
      <c r="E31" s="45">
        <f>H30</f>
        <v/>
      </c>
      <c r="F31" s="45">
        <f>$B$22*12</f>
        <v/>
      </c>
      <c r="G31" s="45">
        <f>H31-E31-F31</f>
        <v/>
      </c>
      <c r="H31" s="46">
        <f>FV($B$23/12,12,-$B$22,-E31)</f>
        <v/>
      </c>
    </row>
    <row r="34" ht="22" customHeight="1">
      <c r="A34" s="51" t="inlineStr">
        <is>
          <t>MONTHLY BUDGET</t>
        </is>
      </c>
    </row>
    <row r="35">
      <c r="A35" s="52" t="inlineStr">
        <is>
          <t>Monthly take-home pay</t>
        </is>
      </c>
      <c r="B35" s="9" t="n">
        <v>7800</v>
      </c>
    </row>
    <row r="36">
      <c r="A36" s="10" t="inlineStr">
        <is>
          <t>Category</t>
        </is>
      </c>
      <c r="B36" s="10" t="inlineStr">
        <is>
          <t>Budget</t>
        </is>
      </c>
      <c r="C36" s="10" t="inlineStr">
        <is>
          <t>Spent</t>
        </is>
      </c>
      <c r="D36" s="10" t="inlineStr">
        <is>
          <t>Left</t>
        </is>
      </c>
      <c r="E36" s="10" t="inlineStr">
        <is>
          <t>% of pay</t>
        </is>
      </c>
      <c r="F36" s="10" t="inlineStr">
        <is>
          <t>Status</t>
        </is>
      </c>
    </row>
    <row r="37">
      <c r="A37" s="53" t="inlineStr">
        <is>
          <t>Housing (from mortgage)</t>
        </is>
      </c>
      <c r="B37" s="54">
        <f>B13</f>
        <v/>
      </c>
      <c r="C37" s="54">
        <f>B13</f>
        <v/>
      </c>
      <c r="D37" s="55">
        <f>B37-C37</f>
        <v/>
      </c>
      <c r="E37" s="56">
        <f>C37/$B$35</f>
        <v/>
      </c>
      <c r="F37" s="57">
        <f>IF(C37&gt;B37,"Over by "&amp;TEXT(C37-B37,"$#,##0"),"OK")</f>
        <v/>
      </c>
    </row>
    <row r="38">
      <c r="A38" s="58" t="inlineStr">
        <is>
          <t>Groceries</t>
        </is>
      </c>
      <c r="B38" s="9" t="n">
        <v>650</v>
      </c>
      <c r="C38" s="9" t="n">
        <v>712</v>
      </c>
      <c r="D38" s="55">
        <f>B38-C38</f>
        <v/>
      </c>
      <c r="E38" s="56">
        <f>C38/$B$35</f>
        <v/>
      </c>
      <c r="F38" s="57">
        <f>IF(C38&gt;B38,"Over by "&amp;TEXT(C38-B38,"$#,##0"),"OK")</f>
        <v/>
      </c>
    </row>
    <row r="39">
      <c r="A39" s="58" t="inlineStr">
        <is>
          <t>Transport</t>
        </is>
      </c>
      <c r="B39" s="9" t="n">
        <v>400</v>
      </c>
      <c r="C39" s="9" t="n">
        <v>365</v>
      </c>
      <c r="D39" s="55">
        <f>B39-C39</f>
        <v/>
      </c>
      <c r="E39" s="56">
        <f>C39/$B$35</f>
        <v/>
      </c>
      <c r="F39" s="57">
        <f>IF(C39&gt;B39,"Over by "&amp;TEXT(C39-B39,"$#,##0"),"OK")</f>
        <v/>
      </c>
    </row>
    <row r="40">
      <c r="A40" s="58" t="inlineStr">
        <is>
          <t>Utilities</t>
        </is>
      </c>
      <c r="B40" s="9" t="n">
        <v>280</v>
      </c>
      <c r="C40" s="9" t="n">
        <v>301</v>
      </c>
      <c r="D40" s="55">
        <f>B40-C40</f>
        <v/>
      </c>
      <c r="E40" s="56">
        <f>C40/$B$35</f>
        <v/>
      </c>
      <c r="F40" s="57">
        <f>IF(C40&gt;B40,"Over by "&amp;TEXT(C40-B40,"$#,##0"),"OK")</f>
        <v/>
      </c>
    </row>
    <row r="41">
      <c r="A41" s="58" t="inlineStr">
        <is>
          <t>Dining out</t>
        </is>
      </c>
      <c r="B41" s="9" t="n">
        <v>300</v>
      </c>
      <c r="C41" s="9" t="n">
        <v>420</v>
      </c>
      <c r="D41" s="55">
        <f>B41-C41</f>
        <v/>
      </c>
      <c r="E41" s="56">
        <f>C41/$B$35</f>
        <v/>
      </c>
      <c r="F41" s="57">
        <f>IF(C41&gt;B41,"Over by "&amp;TEXT(C41-B41,"$#,##0"),"OK")</f>
        <v/>
      </c>
    </row>
    <row r="42">
      <c r="A42" s="53" t="inlineStr">
        <is>
          <t>Savings (from above)</t>
        </is>
      </c>
      <c r="B42" s="54">
        <f>B22</f>
        <v/>
      </c>
      <c r="C42" s="54">
        <f>B22</f>
        <v/>
      </c>
      <c r="D42" s="55">
        <f>B42-C42</f>
        <v/>
      </c>
      <c r="E42" s="56">
        <f>C42/$B$35</f>
        <v/>
      </c>
      <c r="F42" s="57">
        <f>IF(C42&gt;B42,"Over by "&amp;TEXT(C42-B42,"$#,##0"),"OK")</f>
        <v/>
      </c>
    </row>
    <row r="43">
      <c r="A43" s="58" t="inlineStr">
        <is>
          <t>Health</t>
        </is>
      </c>
      <c r="B43" s="9" t="n">
        <v>200</v>
      </c>
      <c r="C43" s="9" t="n">
        <v>150</v>
      </c>
      <c r="D43" s="55">
        <f>B43-C43</f>
        <v/>
      </c>
      <c r="E43" s="56">
        <f>C43/$B$35</f>
        <v/>
      </c>
      <c r="F43" s="57">
        <f>IF(C43&gt;B43,"Over by "&amp;TEXT(C43-B43,"$#,##0"),"OK")</f>
        <v/>
      </c>
    </row>
    <row r="44">
      <c r="A44" s="58" t="inlineStr">
        <is>
          <t>Fun money</t>
        </is>
      </c>
      <c r="B44" s="9" t="n">
        <v>250</v>
      </c>
      <c r="C44" s="9" t="n">
        <v>180</v>
      </c>
      <c r="D44" s="55">
        <f>B44-C44</f>
        <v/>
      </c>
      <c r="E44" s="56">
        <f>C44/$B$35</f>
        <v/>
      </c>
      <c r="F44" s="57">
        <f>IF(C44&gt;B44,"Over by "&amp;TEXT(C44-B44,"$#,##0"),"OK")</f>
        <v/>
      </c>
    </row>
    <row r="45">
      <c r="A45" s="59" t="inlineStr">
        <is>
          <t>Total</t>
        </is>
      </c>
      <c r="B45" s="60">
        <f>SUM(B37:B44)</f>
        <v/>
      </c>
      <c r="C45" s="60">
        <f>SUM(C37:C44)</f>
        <v/>
      </c>
      <c r="D45" s="61">
        <f>B45-C45</f>
        <v/>
      </c>
      <c r="E45" s="62">
        <f>C45/B35</f>
        <v/>
      </c>
      <c r="F45" s="63">
        <f>IF(C45&gt;B35,"Spending &gt; income!","Left: "&amp;TEXT(B35-C45,"$#,##0"))</f>
        <v/>
      </c>
    </row>
    <row r="46">
      <c r="A46" s="52" t="inlineStr">
        <is>
          <t>Biggest expense</t>
        </is>
      </c>
      <c r="B46" s="17">
        <f>INDEX(A37:A44,MATCH(MAX(C37:C44),C37:C44,0))</f>
        <v/>
      </c>
    </row>
    <row r="47">
      <c r="A47" s="52" t="inlineStr">
        <is>
          <t>Categories over budget</t>
        </is>
      </c>
      <c r="B47" s="28">
        <f>COUNTIF(D37:D44,"&lt;0")</f>
        <v/>
      </c>
    </row>
    <row r="48">
      <c r="A48" s="52" t="inlineStr">
        <is>
          <t>Average spend per category</t>
        </is>
      </c>
      <c r="B48" s="30">
        <f>AVERAGE(C37:C44)</f>
        <v/>
      </c>
    </row>
    <row r="49">
      <c r="A49" s="52" t="inlineStr">
        <is>
          <t>Savings rate</t>
        </is>
      </c>
      <c r="B49" s="24">
        <f>C42/B35</f>
        <v/>
      </c>
    </row>
    <row r="50">
      <c r="A50" s="52" t="inlineStr">
        <is>
          <t>Spend excl. housing + savings</t>
        </is>
      </c>
      <c r="B50" s="25">
        <f>SUMIFS(C37:C44,A37:A44,"&lt;&gt;Housing*",A37:A44,"&lt;&gt;Savings*")</f>
        <v/>
      </c>
    </row>
  </sheetData>
  <mergeCells count="9">
    <mergeCell ref="A4:B4"/>
    <mergeCell ref="A20:B20"/>
    <mergeCell ref="J4:K4"/>
    <mergeCell ref="D20:H20"/>
    <mergeCell ref="J20:K20"/>
    <mergeCell ref="J1:K1"/>
    <mergeCell ref="A34:F34"/>
    <mergeCell ref="A1:H1"/>
    <mergeCell ref="D4:H4"/>
  </mergeCells>
  <conditionalFormatting sqref="F37:F44">
    <cfRule type="expression" priority="1" dxfId="0">
      <formula>C37&gt;B37</formula>
    </cfRule>
    <cfRule type="expression" priority="2" dxfId="1">
      <formula>C37&lt;=B37</formula>
    </cfRule>
  </conditionalFormatting>
  <conditionalFormatting sqref="E37:E44">
    <cfRule type="dataBar" priority="3">
      <dataBar>
        <cfvo type="num" val="0"/>
        <cfvo type="max"/>
        <color rgb="00F4B183"/>
      </dataBar>
    </cfRule>
  </conditionalFormatting>
  <conditionalFormatting sqref="F6:F17">
    <cfRule type="colorScale" priority="4">
      <colorScale>
        <cfvo type="min"/>
        <cfvo type="max"/>
        <color rgb="00FFFFFF"/>
        <color rgb="00F8CBAD"/>
      </colorScale>
    </cfRule>
  </conditionalFormatting>
  <conditionalFormatting sqref="H22:H31">
    <cfRule type="dataBar" priority="5">
      <dataBar>
        <cfvo type="num" val="0"/>
        <cfvo type="max"/>
        <color rgb="0070AD47"/>
      </dataBar>
    </cfRule>
  </conditionalFormatting>
  <conditionalFormatting sqref="K22">
    <cfRule type="expression" priority="6" dxfId="0">
      <formula>K21&gt;0.28</formula>
    </cfRule>
    <cfRule type="expression" priority="7" dxfId="2">
      <formula>K21&lt;=0.28</formula>
    </cfRule>
  </conditionalFormatting>
  <conditionalFormatting sqref="K26">
    <cfRule type="cellIs" priority="8" operator="lessThan" dxfId="3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2026-10-09T23:02:10Z</dcterms:created>
  <dcterms:modified xsi:type="dcterms:W3CDTF">2026-10-09T23:02:10Z</dcterms:modified>
</cp:coreProperties>
</file>